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794" documentId="11_E60897F41BE170836B02CE998F75CCDC64E183C8" xr6:coauthVersionLast="47" xr6:coauthVersionMax="47" xr10:uidLastSave="{BA0D118B-98DE-4502-813A-03438CD53DCD}"/>
  <bookViews>
    <workbookView xWindow="240" yWindow="105" windowWidth="14805" windowHeight="8010" firstSheet="2" activeTab="2" xr2:uid="{00000000-000D-0000-FFFF-FFFF00000000}"/>
  </bookViews>
  <sheets>
    <sheet name="Sheet1" sheetId="1" r:id="rId1"/>
    <sheet name="Frequency Distributions" sheetId="2" r:id="rId2"/>
    <sheet name="Demograph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3" l="1"/>
  <c r="E9" i="3"/>
  <c r="B15" i="3"/>
  <c r="I55" i="1"/>
  <c r="I54" i="1"/>
  <c r="G52" i="1"/>
  <c r="I52" i="1"/>
  <c r="H52" i="1"/>
  <c r="F52" i="1"/>
  <c r="AF11" i="2"/>
  <c r="AF6" i="2"/>
  <c r="AF5" i="2"/>
  <c r="AF4" i="2"/>
  <c r="AF3" i="2"/>
  <c r="Z4" i="2"/>
  <c r="Z11" i="2"/>
  <c r="Z5" i="2"/>
  <c r="Z3" i="2"/>
  <c r="T5" i="2"/>
  <c r="T4" i="2"/>
  <c r="T3" i="2"/>
  <c r="T11" i="2" s="1"/>
  <c r="J5" i="2"/>
  <c r="J4" i="2"/>
  <c r="J3" i="2"/>
  <c r="I11" i="1"/>
  <c r="I42" i="1"/>
</calcChain>
</file>

<file path=xl/sharedStrings.xml><?xml version="1.0" encoding="utf-8"?>
<sst xmlns="http://schemas.openxmlformats.org/spreadsheetml/2006/main" count="276" uniqueCount="112">
  <si>
    <t>Name</t>
  </si>
  <si>
    <t>Sex</t>
  </si>
  <si>
    <t>Program</t>
  </si>
  <si>
    <t>Year Level</t>
  </si>
  <si>
    <t>Age Range</t>
  </si>
  <si>
    <t>Facebook</t>
  </si>
  <si>
    <t>Instagram</t>
  </si>
  <si>
    <t>Tiktok</t>
  </si>
  <si>
    <t>Total</t>
  </si>
  <si>
    <t>Limosnero, Aljur, B.</t>
  </si>
  <si>
    <t>Male</t>
  </si>
  <si>
    <t>BS Nursing</t>
  </si>
  <si>
    <t>17 - 19</t>
  </si>
  <si>
    <t>Logmao, Rowan Nicollo L.</t>
  </si>
  <si>
    <t>BS Psychology</t>
  </si>
  <si>
    <t>Navarro, Angelo M.</t>
  </si>
  <si>
    <t>BS Applied Mathematics</t>
  </si>
  <si>
    <t>20 - 22</t>
  </si>
  <si>
    <t>Female</t>
  </si>
  <si>
    <t>Meriado, Gianna Betina A.</t>
  </si>
  <si>
    <t>Mercado, Consuelo B.</t>
  </si>
  <si>
    <t>Guevarra, Aaliyah S.</t>
  </si>
  <si>
    <t>BA Communication</t>
  </si>
  <si>
    <t>De Ramos Alyza Marie L</t>
  </si>
  <si>
    <t>Sesio, Myka Janna, B.</t>
  </si>
  <si>
    <t>BS Tourism Management</t>
  </si>
  <si>
    <t>M</t>
  </si>
  <si>
    <t>Butler, Giomelyn, M.</t>
  </si>
  <si>
    <t>23 above</t>
  </si>
  <si>
    <t>Santos, Richard U.</t>
  </si>
  <si>
    <t>Yu, Christian Kenrich, O.</t>
  </si>
  <si>
    <t>BA International Studies</t>
  </si>
  <si>
    <t>Honorica, Elisha Joi R.</t>
  </si>
  <si>
    <t>BS Biology</t>
  </si>
  <si>
    <t>Alcazar, Leian Syme V.</t>
  </si>
  <si>
    <t>Palispis, Louise Elaine G.</t>
  </si>
  <si>
    <t>Tolentino, Charles Stephen Benedict R.</t>
  </si>
  <si>
    <t>Zarsuelo, Avagrace R.</t>
  </si>
  <si>
    <t>Borja, Rachelle Erika D.</t>
  </si>
  <si>
    <t>Angeles, Mika Alexie C.</t>
  </si>
  <si>
    <t>Glodove, Elijah Lorenz P.</t>
  </si>
  <si>
    <t>BS Information Technology</t>
  </si>
  <si>
    <t>Foja, Allaric, A.</t>
  </si>
  <si>
    <t>Bautista, Gabrielle, Q.</t>
  </si>
  <si>
    <t>Gumahin, Prince Symon Q.</t>
  </si>
  <si>
    <t>Chan Driz D.</t>
  </si>
  <si>
    <t>IAS</t>
  </si>
  <si>
    <t>Salim, Khaliq Antonio, P.</t>
  </si>
  <si>
    <t>BS Computer Science</t>
  </si>
  <si>
    <t>Palaje, Adrian Paul B</t>
  </si>
  <si>
    <t>BANTIGUE, NICOLE ANNE S.</t>
  </si>
  <si>
    <t>Hicban, Clarence S.</t>
  </si>
  <si>
    <t>Delos Reyes, Eunyce Jezreel M.</t>
  </si>
  <si>
    <t>Uroa, Sophia Ysabelle, M.</t>
  </si>
  <si>
    <t>Co, Stephanie Mae P.</t>
  </si>
  <si>
    <t>Villas, Kim Rihanna Li T.</t>
  </si>
  <si>
    <t>Nerviol, Reese Z.</t>
  </si>
  <si>
    <t>Oreta, Laurice Farah S.</t>
  </si>
  <si>
    <t>BS Business Administration</t>
  </si>
  <si>
    <t>Panis, Alessandra Lorraine T.</t>
  </si>
  <si>
    <t>BS Architecture</t>
  </si>
  <si>
    <t>N/A</t>
  </si>
  <si>
    <t>BUENAFLOR, BEATRIZ</t>
  </si>
  <si>
    <t>Agbunag, James Aaron, G.</t>
  </si>
  <si>
    <t>RAVACAL, LHYAN SAIRA, J.</t>
  </si>
  <si>
    <t>Eata, Jedd Raynier A.</t>
  </si>
  <si>
    <t>Dabu, Lira M.</t>
  </si>
  <si>
    <t>Celo, Kimberly Heart, O.</t>
  </si>
  <si>
    <t>Paglinawan, Zeus Alexis T.</t>
  </si>
  <si>
    <t>Seraspe, Maclyn Keith L.</t>
  </si>
  <si>
    <t>Continuous Random Variables</t>
  </si>
  <si>
    <t xml:space="preserve">Frequency </t>
  </si>
  <si>
    <t>Mean</t>
  </si>
  <si>
    <t>Variance</t>
  </si>
  <si>
    <t>Standard Deviation</t>
  </si>
  <si>
    <t>Classes</t>
  </si>
  <si>
    <t>Frequency</t>
  </si>
  <si>
    <t>0 ≤ X &lt; 1.0</t>
  </si>
  <si>
    <t>0 ≤ X &lt; 1.2</t>
  </si>
  <si>
    <t>0 ≤ X &lt; 1.5</t>
  </si>
  <si>
    <t>0 ≤ X &lt; 2.5</t>
  </si>
  <si>
    <t>1.0 ≤ X &lt; 2.0</t>
  </si>
  <si>
    <t>1.2 ≤ X &lt; 2.4</t>
  </si>
  <si>
    <t>1.5 ≤ X &lt; 3.0</t>
  </si>
  <si>
    <t>2.5 ≤ X &lt; 5.0</t>
  </si>
  <si>
    <t>2.0 ≤ X &lt; 3.0</t>
  </si>
  <si>
    <t>2.4 ≤ X &lt; 3.6</t>
  </si>
  <si>
    <t>3.0 ≤ X &lt; 4.5</t>
  </si>
  <si>
    <t>5.0 ≤ X &lt; 7.5</t>
  </si>
  <si>
    <t>3.0 ≤ X &lt; 4.0</t>
  </si>
  <si>
    <t>3.6 ≤ X &lt; 4.8</t>
  </si>
  <si>
    <t>4.5 ≤ X &lt; 6.0</t>
  </si>
  <si>
    <t>7.5 ≤ X &lt; 10.0</t>
  </si>
  <si>
    <t>4.0 ≤ X &lt; 5.0</t>
  </si>
  <si>
    <t>4.8 ≤ X &lt; 6.0</t>
  </si>
  <si>
    <t>6.0 ≤ X &lt; 7.5</t>
  </si>
  <si>
    <t>10.0 ≤ X &lt; 12.5</t>
  </si>
  <si>
    <t>5.0 ≤ X &lt; 6.0</t>
  </si>
  <si>
    <t>6.0 ≤ X &lt; 7.2</t>
  </si>
  <si>
    <t>7.5 ≤ X &lt; 9.0</t>
  </si>
  <si>
    <t>12.5 ≤ X &lt; 15.0</t>
  </si>
  <si>
    <t>6.0 ≤ X ≤ 7.0</t>
  </si>
  <si>
    <t>7.2 ≤ X &lt; 8.4</t>
  </si>
  <si>
    <t>9.0 ≤ X &lt; 10.5</t>
  </si>
  <si>
    <t>15.0 ≤ X &lt; 17.5</t>
  </si>
  <si>
    <t>1st</t>
  </si>
  <si>
    <t>2nd</t>
  </si>
  <si>
    <t>3rd</t>
  </si>
  <si>
    <t>23 and above</t>
  </si>
  <si>
    <t>4th</t>
  </si>
  <si>
    <t>Did Not Declare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</si>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</sst>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rgb="FF434343"/>
      <name val="Roboto"/>
      <charset val="1"/>
    </font>
    <font>
      <sz val="10"/>
      <color theme="1"/>
      <name val="Arial"/>
      <charset val="1"/>
    </font>
    <font>
      <sz val="10"/>
      <color rgb="FF000000"/>
      <name val="Lucida Console"/>
      <family val="3"/>
      <charset val="1"/>
    </font>
    <font>
      <sz val="11"/>
      <color rgb="FF242424"/>
      <name val="Aptos Narrow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877F2"/>
        <bgColor indexed="64"/>
      </patternFill>
    </fill>
    <fill>
      <patternFill patternType="solid">
        <fgColor rgb="FFDD2A7B"/>
        <bgColor indexed="64"/>
      </patternFill>
    </fill>
    <fill>
      <patternFill patternType="solid">
        <fgColor rgb="FF2DCCD3"/>
        <bgColor indexed="64"/>
      </patternFill>
    </fill>
    <fill>
      <patternFill patternType="solid">
        <fgColor rgb="FFA908B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2" borderId="8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2" fillId="2" borderId="7" xfId="0" applyFont="1" applyFill="1" applyBorder="1" applyAlignment="1">
      <alignment readingOrder="1"/>
    </xf>
    <xf numFmtId="0" fontId="2" fillId="2" borderId="8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0" borderId="14" xfId="0" applyFont="1" applyBorder="1" applyAlignment="1">
      <alignment readingOrder="1"/>
    </xf>
    <xf numFmtId="0" fontId="2" fillId="0" borderId="15" xfId="0" applyFont="1" applyBorder="1" applyAlignment="1">
      <alignment readingOrder="1"/>
    </xf>
    <xf numFmtId="0" fontId="2" fillId="0" borderId="16" xfId="0" applyFont="1" applyBorder="1" applyAlignment="1">
      <alignment readingOrder="1"/>
    </xf>
    <xf numFmtId="0" fontId="2" fillId="0" borderId="17" xfId="0" applyFont="1" applyBorder="1" applyAlignment="1">
      <alignment readingOrder="1"/>
    </xf>
    <xf numFmtId="0" fontId="2" fillId="0" borderId="18" xfId="0" applyFont="1" applyBorder="1" applyAlignment="1">
      <alignment readingOrder="1"/>
    </xf>
    <xf numFmtId="0" fontId="2" fillId="0" borderId="19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4" borderId="15" xfId="0" applyFont="1" applyFill="1" applyBorder="1" applyAlignment="1">
      <alignment readingOrder="1"/>
    </xf>
    <xf numFmtId="0" fontId="2" fillId="4" borderId="16" xfId="0" applyFont="1" applyFill="1" applyBorder="1" applyAlignment="1">
      <alignment readingOrder="1"/>
    </xf>
    <xf numFmtId="0" fontId="2" fillId="4" borderId="17" xfId="0" applyFont="1" applyFill="1" applyBorder="1" applyAlignment="1">
      <alignment readingOrder="1"/>
    </xf>
    <xf numFmtId="0" fontId="3" fillId="2" borderId="0" xfId="0" applyFont="1" applyFill="1"/>
    <xf numFmtId="0" fontId="4" fillId="0" borderId="0" xfId="0" applyFont="1"/>
    <xf numFmtId="0" fontId="2" fillId="5" borderId="15" xfId="0" applyFont="1" applyFill="1" applyBorder="1" applyAlignment="1">
      <alignment readingOrder="1"/>
    </xf>
    <xf numFmtId="0" fontId="2" fillId="5" borderId="16" xfId="0" applyFont="1" applyFill="1" applyBorder="1" applyAlignment="1">
      <alignment readingOrder="1"/>
    </xf>
    <xf numFmtId="0" fontId="2" fillId="5" borderId="17" xfId="0" applyFont="1" applyFill="1" applyBorder="1" applyAlignment="1">
      <alignment readingOrder="1"/>
    </xf>
    <xf numFmtId="0" fontId="5" fillId="6" borderId="0" xfId="0" applyFont="1" applyFill="1"/>
    <xf numFmtId="0" fontId="6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908B5"/>
      <color rgb="FF2DCCD3"/>
      <color rgb="FF1877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Degree Program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C9-4F37-8927-96FF19C4D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C9-4F37-8927-96FF19C4DC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C9-4F37-8927-96FF19C4DC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C9-4F37-8927-96FF19C4DC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7C9-4F37-8927-96FF19C4DC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7C9-4F37-8927-96FF19C4DC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7C9-4F37-8927-96FF19C4DC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7C9-4F37-8927-96FF19C4DC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7C9-4F37-8927-96FF19C4DC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7C9-4F37-8927-96FF19C4DC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7C9-4F37-8927-96FF19C4DC4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7C9-4F37-8927-96FF19C4DC42}"/>
              </c:ext>
            </c:extLst>
          </c:dPt>
          <c:cat>
            <c:strRef>
              <c:f>Demographics!$A$2:$A$13</c:f>
              <c:strCache>
                <c:ptCount val="12"/>
                <c:pt idx="0">
                  <c:v>BA Communication</c:v>
                </c:pt>
                <c:pt idx="1">
                  <c:v>BA International Studies</c:v>
                </c:pt>
                <c:pt idx="2">
                  <c:v>BS Applied Mathematics</c:v>
                </c:pt>
                <c:pt idx="3">
                  <c:v>BS Architecture</c:v>
                </c:pt>
                <c:pt idx="4">
                  <c:v>BS Biology</c:v>
                </c:pt>
                <c:pt idx="5">
                  <c:v>BS Business Administration</c:v>
                </c:pt>
                <c:pt idx="6">
                  <c:v>BS Computer Science</c:v>
                </c:pt>
                <c:pt idx="7">
                  <c:v>BS Information Technology</c:v>
                </c:pt>
                <c:pt idx="8">
                  <c:v>BS Nursing</c:v>
                </c:pt>
                <c:pt idx="9">
                  <c:v>BS Psychology</c:v>
                </c:pt>
                <c:pt idx="10">
                  <c:v>BS Tourism Management</c:v>
                </c:pt>
                <c:pt idx="11">
                  <c:v>Did Not Declare</c:v>
                </c:pt>
              </c:strCache>
            </c:strRef>
          </c:cat>
          <c:val>
            <c:numRef>
              <c:f>Demographics!$B$2:$B$13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11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10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09-4F14-8A99-BB6D9BC31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3C-44B6-BA5B-890AA50875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3C-44B6-BA5B-890AA50875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3C-44B6-BA5B-890AA50875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3C-44B6-BA5B-890AA50875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03C-44B6-BA5B-890AA50875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03C-44B6-BA5B-890AA50875B7}"/>
              </c:ext>
            </c:extLst>
          </c:dPt>
          <c:cat>
            <c:strRef>
              <c:f>Demographics!$D$2:$D$7</c:f>
              <c:strCache>
                <c:ptCount val="6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Did Not Declare</c:v>
                </c:pt>
              </c:strCache>
            </c:strRef>
          </c:cat>
          <c:val>
            <c:numRef>
              <c:f>Demographics!$E$2:$E$7</c:f>
              <c:numCache>
                <c:formatCode>General</c:formatCode>
                <c:ptCount val="6"/>
                <c:pt idx="0">
                  <c:v>13</c:v>
                </c:pt>
                <c:pt idx="1">
                  <c:v>22</c:v>
                </c:pt>
                <c:pt idx="2">
                  <c:v>3</c:v>
                </c:pt>
                <c:pt idx="3">
                  <c:v>6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53-4C35-A7A0-1736C151E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Range</a:t>
            </a:r>
          </a:p>
        </c:rich>
      </c:tx>
      <c:layout>
        <c:manualLayout>
          <c:xMode val="edge"/>
          <c:yMode val="edge"/>
          <c:x val="0.41032638507085417"/>
          <c:y val="2.7083396911621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9-4E4A-8F4F-362405F2AC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D9-4E4A-8F4F-362405F2AC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D9-4E4A-8F4F-362405F2AC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D9-4E4A-8F4F-362405F2AC9F}"/>
              </c:ext>
            </c:extLst>
          </c:dPt>
          <c:cat>
            <c:strRef>
              <c:f>Demographics!$G$2:$G$5</c:f>
              <c:strCache>
                <c:ptCount val="4"/>
                <c:pt idx="0">
                  <c:v>17 - 19</c:v>
                </c:pt>
                <c:pt idx="1">
                  <c:v>20 - 22</c:v>
                </c:pt>
                <c:pt idx="2">
                  <c:v>23 and above</c:v>
                </c:pt>
                <c:pt idx="3">
                  <c:v>Did Not Declare</c:v>
                </c:pt>
              </c:strCache>
            </c:strRef>
          </c:cat>
          <c:val>
            <c:numRef>
              <c:f>Demographics!$H$2:$H$5</c:f>
              <c:numCache>
                <c:formatCode>General</c:formatCode>
                <c:ptCount val="4"/>
                <c:pt idx="0">
                  <c:v>28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C3C-9CEF-49B8B4FE3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47625</xdr:rowOff>
    </xdr:from>
    <xdr:to>
      <xdr:col>5</xdr:col>
      <xdr:colOff>0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A1BC8-781F-5CB6-26C8-8A0BEF048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</xdr:colOff>
      <xdr:row>16</xdr:row>
      <xdr:rowOff>47625</xdr:rowOff>
    </xdr:from>
    <xdr:to>
      <xdr:col>11</xdr:col>
      <xdr:colOff>438150</xdr:colOff>
      <xdr:row>30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80FB69-9B42-5304-3D29-90FB0CF4D550}"/>
            </a:ext>
            <a:ext uri="{147F2762-F138-4A5C-976F-8EAC2B608ADB}">
              <a16:predDERef xmlns:a16="http://schemas.microsoft.com/office/drawing/2014/main" pred="{E01A1BC8-781F-5CB6-26C8-8A0BEF048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447675</xdr:colOff>
      <xdr:row>16</xdr:row>
      <xdr:rowOff>47625</xdr:rowOff>
    </xdr:from>
    <xdr:to>
      <xdr:col>19</xdr:col>
      <xdr:colOff>142875</xdr:colOff>
      <xdr:row>30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C1B42A-3AE9-AB33-D682-CD39F5F66800}"/>
            </a:ext>
            <a:ext uri="{147F2762-F138-4A5C-976F-8EAC2B608ADB}">
              <a16:predDERef xmlns:a16="http://schemas.microsoft.com/office/drawing/2014/main" pred="{9380FB69-9B42-5304-3D29-90FB0CF4D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workbookViewId="0">
      <selection activeCell="C54" sqref="C54"/>
    </sheetView>
  </sheetViews>
  <sheetFormatPr defaultRowHeight="15"/>
  <cols>
    <col min="1" max="1" width="35.42578125" customWidth="1"/>
    <col min="3" max="3" width="45.7109375" customWidth="1"/>
    <col min="4" max="4" width="9.5703125" customWidth="1"/>
    <col min="5" max="5" width="10.140625" customWidth="1"/>
    <col min="6" max="6" width="35" customWidth="1"/>
    <col min="7" max="7" width="36" customWidth="1"/>
    <col min="8" max="8" width="32.5703125" customWidth="1"/>
    <col min="9" max="9" width="28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2" t="s">
        <v>10</v>
      </c>
      <c r="C2" s="2" t="s">
        <v>11</v>
      </c>
      <c r="D2">
        <v>2</v>
      </c>
      <c r="E2" s="3" t="s">
        <v>12</v>
      </c>
      <c r="F2" s="18">
        <v>0.6</v>
      </c>
      <c r="G2" s="19">
        <v>2.7</v>
      </c>
      <c r="H2" s="19">
        <v>4.3</v>
      </c>
      <c r="I2" s="20">
        <v>7.6</v>
      </c>
    </row>
    <row r="3" spans="1:9">
      <c r="A3" s="4"/>
      <c r="B3" s="5" t="s">
        <v>10</v>
      </c>
      <c r="C3" s="6"/>
      <c r="E3" s="7" t="s">
        <v>12</v>
      </c>
      <c r="F3" s="21">
        <v>5</v>
      </c>
      <c r="G3" s="22">
        <v>1</v>
      </c>
      <c r="H3" s="22">
        <v>0</v>
      </c>
      <c r="I3" s="23">
        <v>6</v>
      </c>
    </row>
    <row r="4" spans="1:9">
      <c r="A4" s="8" t="s">
        <v>13</v>
      </c>
      <c r="B4" s="9" t="s">
        <v>10</v>
      </c>
      <c r="C4" s="9" t="s">
        <v>14</v>
      </c>
      <c r="D4">
        <v>2</v>
      </c>
      <c r="E4" s="10" t="s">
        <v>12</v>
      </c>
      <c r="F4" s="21">
        <v>0.5</v>
      </c>
      <c r="G4" s="22">
        <v>0.5</v>
      </c>
      <c r="H4" s="22">
        <v>1</v>
      </c>
      <c r="I4" s="23">
        <v>2</v>
      </c>
    </row>
    <row r="5" spans="1:9">
      <c r="A5" s="11" t="s">
        <v>15</v>
      </c>
      <c r="B5" s="5" t="s">
        <v>10</v>
      </c>
      <c r="C5" s="5" t="s">
        <v>16</v>
      </c>
      <c r="D5">
        <v>2</v>
      </c>
      <c r="E5" s="7" t="s">
        <v>17</v>
      </c>
      <c r="F5" s="21">
        <v>0.51666666670000005</v>
      </c>
      <c r="G5" s="22">
        <v>2.0333333329999999</v>
      </c>
      <c r="H5" s="22">
        <v>3.8333333330000001</v>
      </c>
      <c r="I5" s="23">
        <v>6.3833333330000004</v>
      </c>
    </row>
    <row r="6" spans="1:9">
      <c r="A6" s="12"/>
      <c r="B6" s="9" t="s">
        <v>10</v>
      </c>
      <c r="C6" s="13"/>
      <c r="E6" s="14"/>
      <c r="F6" s="27">
        <v>0.5</v>
      </c>
      <c r="G6" s="28">
        <v>0.75</v>
      </c>
      <c r="H6" s="28">
        <v>2</v>
      </c>
      <c r="I6" s="29">
        <v>3.25</v>
      </c>
    </row>
    <row r="7" spans="1:9">
      <c r="A7" s="4"/>
      <c r="B7" s="5" t="s">
        <v>18</v>
      </c>
      <c r="C7" s="6"/>
      <c r="E7" s="7" t="s">
        <v>12</v>
      </c>
      <c r="F7" s="21">
        <v>0.25</v>
      </c>
      <c r="G7" s="22">
        <v>1</v>
      </c>
      <c r="H7" s="22">
        <v>2.5</v>
      </c>
      <c r="I7" s="23">
        <v>3.75</v>
      </c>
    </row>
    <row r="8" spans="1:9">
      <c r="A8" s="8" t="s">
        <v>19</v>
      </c>
      <c r="B8" s="9" t="s">
        <v>18</v>
      </c>
      <c r="C8" s="9" t="s">
        <v>14</v>
      </c>
      <c r="D8">
        <v>1</v>
      </c>
      <c r="E8" s="10" t="s">
        <v>12</v>
      </c>
      <c r="F8" s="21">
        <v>1.0083333329999999</v>
      </c>
      <c r="G8" s="22">
        <v>1.766666667</v>
      </c>
      <c r="H8" s="22">
        <v>1.9</v>
      </c>
      <c r="I8" s="23">
        <v>4.6749999999999998</v>
      </c>
    </row>
    <row r="9" spans="1:9">
      <c r="A9" s="11" t="s">
        <v>20</v>
      </c>
      <c r="B9" s="5" t="s">
        <v>18</v>
      </c>
      <c r="C9" s="5" t="s">
        <v>16</v>
      </c>
      <c r="D9">
        <v>4</v>
      </c>
      <c r="E9" s="7" t="s">
        <v>17</v>
      </c>
      <c r="F9" s="21">
        <v>3.6333333329999999</v>
      </c>
      <c r="G9" s="22">
        <v>0.43333333330000001</v>
      </c>
      <c r="H9" s="22">
        <v>0.36666666669999998</v>
      </c>
      <c r="I9" s="23">
        <v>4.4333333330000002</v>
      </c>
    </row>
    <row r="10" spans="1:9">
      <c r="A10" s="8" t="s">
        <v>21</v>
      </c>
      <c r="B10" s="9" t="s">
        <v>18</v>
      </c>
      <c r="C10" s="9" t="s">
        <v>22</v>
      </c>
      <c r="D10">
        <v>2</v>
      </c>
      <c r="E10" s="10" t="s">
        <v>17</v>
      </c>
      <c r="F10" s="27">
        <v>0.5</v>
      </c>
      <c r="G10" s="28">
        <v>8</v>
      </c>
      <c r="H10" s="28">
        <v>6.6666666670000003</v>
      </c>
      <c r="I10" s="29">
        <v>15.166666666999999</v>
      </c>
    </row>
    <row r="11" spans="1:9">
      <c r="A11" s="11" t="s">
        <v>23</v>
      </c>
      <c r="B11" s="5" t="s">
        <v>18</v>
      </c>
      <c r="C11" s="5" t="s">
        <v>11</v>
      </c>
      <c r="D11">
        <v>2</v>
      </c>
      <c r="E11" s="7" t="s">
        <v>12</v>
      </c>
      <c r="F11" s="32">
        <v>2.7142857139999998</v>
      </c>
      <c r="G11" s="33">
        <v>0.85714285700000004</v>
      </c>
      <c r="H11" s="33">
        <v>0.85714285700000004</v>
      </c>
      <c r="I11" s="34">
        <f xml:space="preserve"> 31 / 7</f>
        <v>4.4285714285714288</v>
      </c>
    </row>
    <row r="12" spans="1:9">
      <c r="A12" s="8" t="s">
        <v>24</v>
      </c>
      <c r="B12" s="9" t="s">
        <v>18</v>
      </c>
      <c r="C12" s="9" t="s">
        <v>25</v>
      </c>
      <c r="D12">
        <v>4</v>
      </c>
      <c r="E12" s="10" t="s">
        <v>17</v>
      </c>
      <c r="F12" s="21">
        <v>2</v>
      </c>
      <c r="G12" s="22">
        <v>0.33333333329999998</v>
      </c>
      <c r="H12" s="22">
        <v>3</v>
      </c>
      <c r="I12" s="23">
        <v>5.3333333329999997</v>
      </c>
    </row>
    <row r="13" spans="1:9">
      <c r="A13" s="11" t="s">
        <v>26</v>
      </c>
      <c r="B13" s="5" t="s">
        <v>18</v>
      </c>
      <c r="C13" s="5" t="s">
        <v>14</v>
      </c>
      <c r="D13">
        <v>4</v>
      </c>
      <c r="E13" s="7" t="s">
        <v>17</v>
      </c>
      <c r="F13" s="21">
        <v>2.6666666669999999</v>
      </c>
      <c r="G13" s="22">
        <v>1.5</v>
      </c>
      <c r="H13" s="22">
        <v>2</v>
      </c>
      <c r="I13" s="23">
        <v>6.1666666670000003</v>
      </c>
    </row>
    <row r="14" spans="1:9">
      <c r="A14" s="8" t="s">
        <v>27</v>
      </c>
      <c r="B14" s="9" t="s">
        <v>18</v>
      </c>
      <c r="C14" s="9" t="s">
        <v>14</v>
      </c>
      <c r="D14">
        <v>1</v>
      </c>
      <c r="E14" s="10" t="s">
        <v>28</v>
      </c>
      <c r="F14" s="21">
        <v>0</v>
      </c>
      <c r="G14" s="22">
        <v>0</v>
      </c>
      <c r="H14" s="22">
        <v>0</v>
      </c>
      <c r="I14" s="23">
        <v>0</v>
      </c>
    </row>
    <row r="15" spans="1:9">
      <c r="A15" s="11" t="s">
        <v>29</v>
      </c>
      <c r="B15" s="5" t="s">
        <v>10</v>
      </c>
      <c r="C15" s="5" t="s">
        <v>16</v>
      </c>
      <c r="D15">
        <v>3</v>
      </c>
      <c r="E15" s="7" t="s">
        <v>17</v>
      </c>
      <c r="F15" s="21">
        <v>2</v>
      </c>
      <c r="G15" s="22">
        <v>0.5</v>
      </c>
      <c r="H15" s="22">
        <v>5</v>
      </c>
      <c r="I15" s="23">
        <v>7.5</v>
      </c>
    </row>
    <row r="16" spans="1:9">
      <c r="A16" s="8" t="s">
        <v>30</v>
      </c>
      <c r="B16" s="9" t="s">
        <v>10</v>
      </c>
      <c r="C16" s="9" t="s">
        <v>31</v>
      </c>
      <c r="D16">
        <v>2</v>
      </c>
      <c r="E16" s="10" t="s">
        <v>17</v>
      </c>
      <c r="F16" s="21">
        <v>2</v>
      </c>
      <c r="G16" s="22">
        <v>0</v>
      </c>
      <c r="H16" s="22">
        <v>0</v>
      </c>
      <c r="I16" s="23">
        <v>2</v>
      </c>
    </row>
    <row r="17" spans="1:9">
      <c r="A17" s="11" t="s">
        <v>32</v>
      </c>
      <c r="B17" s="5" t="s">
        <v>18</v>
      </c>
      <c r="C17" s="5" t="s">
        <v>33</v>
      </c>
      <c r="D17">
        <v>2</v>
      </c>
      <c r="E17" s="7" t="s">
        <v>17</v>
      </c>
      <c r="F17" s="21">
        <v>0.41666666670000002</v>
      </c>
      <c r="G17" s="22">
        <v>1</v>
      </c>
      <c r="H17" s="22">
        <v>0.5</v>
      </c>
      <c r="I17" s="23">
        <v>1.9166666670000001</v>
      </c>
    </row>
    <row r="18" spans="1:9">
      <c r="A18" s="8" t="s">
        <v>34</v>
      </c>
      <c r="B18" s="9" t="s">
        <v>18</v>
      </c>
      <c r="C18" s="9" t="s">
        <v>14</v>
      </c>
      <c r="D18">
        <v>1</v>
      </c>
      <c r="E18" s="10" t="s">
        <v>12</v>
      </c>
      <c r="F18" s="21">
        <v>0.33333333329999998</v>
      </c>
      <c r="G18" s="22">
        <v>4.4333333330000002</v>
      </c>
      <c r="H18" s="22">
        <v>8.3333333329999995E-2</v>
      </c>
      <c r="I18" s="23">
        <v>4.8499999999999996</v>
      </c>
    </row>
    <row r="19" spans="1:9">
      <c r="A19" s="11" t="s">
        <v>35</v>
      </c>
      <c r="B19" s="5" t="s">
        <v>18</v>
      </c>
      <c r="C19" s="5" t="s">
        <v>14</v>
      </c>
      <c r="D19">
        <v>4</v>
      </c>
      <c r="E19" s="7" t="s">
        <v>17</v>
      </c>
      <c r="F19" s="21">
        <v>1</v>
      </c>
      <c r="G19" s="22">
        <v>1</v>
      </c>
      <c r="H19" s="22">
        <v>1</v>
      </c>
      <c r="I19" s="23">
        <v>3</v>
      </c>
    </row>
    <row r="20" spans="1:9">
      <c r="A20" s="12"/>
      <c r="B20" s="9" t="s">
        <v>18</v>
      </c>
      <c r="C20" s="9" t="s">
        <v>31</v>
      </c>
      <c r="E20" s="10" t="s">
        <v>12</v>
      </c>
      <c r="F20" s="21">
        <v>1.316666667</v>
      </c>
      <c r="G20" s="22">
        <v>2.6833333330000002</v>
      </c>
      <c r="H20" s="22">
        <v>0</v>
      </c>
      <c r="I20" s="23">
        <v>4</v>
      </c>
    </row>
    <row r="21" spans="1:9">
      <c r="A21" s="11" t="s">
        <v>36</v>
      </c>
      <c r="B21" s="5" t="s">
        <v>10</v>
      </c>
      <c r="C21" s="5" t="s">
        <v>16</v>
      </c>
      <c r="D21">
        <v>2</v>
      </c>
      <c r="E21" s="7" t="s">
        <v>17</v>
      </c>
      <c r="F21" s="21">
        <v>0.53333333329999999</v>
      </c>
      <c r="G21" s="22">
        <v>2.3333333330000001</v>
      </c>
      <c r="H21" s="22">
        <v>0</v>
      </c>
      <c r="I21" s="23">
        <v>2.8666666670000001</v>
      </c>
    </row>
    <row r="22" spans="1:9">
      <c r="A22" s="8" t="s">
        <v>37</v>
      </c>
      <c r="B22" s="9" t="s">
        <v>18</v>
      </c>
      <c r="C22" s="9" t="s">
        <v>16</v>
      </c>
      <c r="D22">
        <v>1</v>
      </c>
      <c r="E22" s="10" t="s">
        <v>12</v>
      </c>
      <c r="F22" s="21">
        <v>2.8333333330000001</v>
      </c>
      <c r="G22" s="22">
        <v>1.5</v>
      </c>
      <c r="H22" s="22">
        <v>2.3333333330000001</v>
      </c>
      <c r="I22" s="23">
        <v>6.6666666670000003</v>
      </c>
    </row>
    <row r="23" spans="1:9">
      <c r="A23" s="11" t="s">
        <v>38</v>
      </c>
      <c r="B23" s="5" t="s">
        <v>18</v>
      </c>
      <c r="C23" s="5" t="s">
        <v>16</v>
      </c>
      <c r="D23">
        <v>3</v>
      </c>
      <c r="E23" s="7" t="s">
        <v>17</v>
      </c>
      <c r="F23" s="21">
        <v>2</v>
      </c>
      <c r="G23" s="22">
        <v>1</v>
      </c>
      <c r="H23" s="22">
        <v>2</v>
      </c>
      <c r="I23" s="23">
        <v>5</v>
      </c>
    </row>
    <row r="24" spans="1:9">
      <c r="A24" s="8" t="s">
        <v>39</v>
      </c>
      <c r="B24" s="9" t="s">
        <v>18</v>
      </c>
      <c r="C24" s="9" t="s">
        <v>31</v>
      </c>
      <c r="D24">
        <v>2</v>
      </c>
      <c r="E24" s="10" t="s">
        <v>17</v>
      </c>
      <c r="F24" s="21">
        <v>0.8</v>
      </c>
      <c r="G24" s="22">
        <v>3.3333333329999999E-2</v>
      </c>
      <c r="H24" s="22">
        <v>0.45</v>
      </c>
      <c r="I24" s="23">
        <v>1.2833333330000001</v>
      </c>
    </row>
    <row r="25" spans="1:9">
      <c r="A25" s="11" t="s">
        <v>40</v>
      </c>
      <c r="B25" s="5" t="s">
        <v>10</v>
      </c>
      <c r="C25" s="5" t="s">
        <v>41</v>
      </c>
      <c r="D25">
        <v>2</v>
      </c>
      <c r="E25" s="7" t="s">
        <v>17</v>
      </c>
      <c r="F25" s="21">
        <v>3.8333333329999997E-2</v>
      </c>
      <c r="G25" s="22">
        <v>1.833333333E-2</v>
      </c>
      <c r="H25" s="22">
        <v>3.5000000000000003E-2</v>
      </c>
      <c r="I25" s="23">
        <v>7.4999999999999997E-2</v>
      </c>
    </row>
    <row r="26" spans="1:9">
      <c r="A26" s="8" t="s">
        <v>42</v>
      </c>
      <c r="B26" s="9" t="s">
        <v>10</v>
      </c>
      <c r="C26" s="9" t="s">
        <v>41</v>
      </c>
      <c r="D26">
        <v>2</v>
      </c>
      <c r="E26" s="10" t="s">
        <v>12</v>
      </c>
      <c r="F26" s="21">
        <v>1</v>
      </c>
      <c r="G26" s="22">
        <v>0.5</v>
      </c>
      <c r="H26" s="22">
        <v>2</v>
      </c>
      <c r="I26" s="23">
        <v>3.5</v>
      </c>
    </row>
    <row r="27" spans="1:9">
      <c r="A27" s="11" t="s">
        <v>43</v>
      </c>
      <c r="B27" s="5" t="s">
        <v>10</v>
      </c>
      <c r="C27" s="5" t="s">
        <v>41</v>
      </c>
      <c r="D27">
        <v>2</v>
      </c>
      <c r="E27" s="7" t="s">
        <v>12</v>
      </c>
      <c r="F27" s="21">
        <v>1.3333333329999999</v>
      </c>
      <c r="G27" s="22">
        <v>1</v>
      </c>
      <c r="H27" s="22">
        <v>2</v>
      </c>
      <c r="I27" s="23">
        <v>4.3333333329999997</v>
      </c>
    </row>
    <row r="28" spans="1:9">
      <c r="A28" s="8" t="s">
        <v>44</v>
      </c>
      <c r="B28" s="9" t="s">
        <v>10</v>
      </c>
      <c r="C28" s="9" t="s">
        <v>22</v>
      </c>
      <c r="D28">
        <v>2</v>
      </c>
      <c r="E28" s="10" t="s">
        <v>12</v>
      </c>
      <c r="F28" s="27">
        <v>8.3333333329999995E-2</v>
      </c>
      <c r="G28" s="28">
        <v>0.5</v>
      </c>
      <c r="H28" s="28">
        <v>1</v>
      </c>
      <c r="I28" s="29">
        <v>1.5833333329999999</v>
      </c>
    </row>
    <row r="29" spans="1:9">
      <c r="A29" s="4"/>
      <c r="B29" s="5" t="s">
        <v>10</v>
      </c>
      <c r="C29" s="6"/>
      <c r="E29" s="7" t="s">
        <v>17</v>
      </c>
      <c r="F29" s="21">
        <v>0.16666666669999999</v>
      </c>
      <c r="G29" s="22">
        <v>1.666666667E-2</v>
      </c>
      <c r="H29" s="22">
        <v>0</v>
      </c>
      <c r="I29" s="23">
        <v>0.18333333330000001</v>
      </c>
    </row>
    <row r="30" spans="1:9">
      <c r="A30" s="8" t="s">
        <v>45</v>
      </c>
      <c r="B30" s="9" t="s">
        <v>18</v>
      </c>
      <c r="C30" s="9" t="s">
        <v>46</v>
      </c>
      <c r="D30">
        <v>3</v>
      </c>
      <c r="E30" s="10" t="s">
        <v>17</v>
      </c>
      <c r="F30" s="21">
        <v>0.5</v>
      </c>
      <c r="G30" s="22">
        <v>1</v>
      </c>
      <c r="H30" s="22">
        <v>1</v>
      </c>
      <c r="I30" s="23">
        <v>2.5</v>
      </c>
    </row>
    <row r="31" spans="1:9">
      <c r="A31" s="11" t="s">
        <v>47</v>
      </c>
      <c r="B31" s="5" t="s">
        <v>10</v>
      </c>
      <c r="C31" s="5" t="s">
        <v>48</v>
      </c>
      <c r="D31">
        <v>1</v>
      </c>
      <c r="E31" s="7" t="s">
        <v>12</v>
      </c>
      <c r="F31" s="27">
        <v>0.5</v>
      </c>
      <c r="G31" s="28">
        <v>1</v>
      </c>
      <c r="H31" s="28">
        <v>2</v>
      </c>
      <c r="I31" s="29">
        <v>3.5</v>
      </c>
    </row>
    <row r="32" spans="1:9">
      <c r="A32" s="8" t="s">
        <v>49</v>
      </c>
      <c r="B32" s="9" t="s">
        <v>10</v>
      </c>
      <c r="C32" s="9" t="s">
        <v>48</v>
      </c>
      <c r="D32">
        <v>1</v>
      </c>
      <c r="E32" s="10" t="s">
        <v>12</v>
      </c>
      <c r="F32" s="27">
        <v>0.50833333329999997</v>
      </c>
      <c r="G32" s="28">
        <v>1</v>
      </c>
      <c r="H32" s="28">
        <v>3</v>
      </c>
      <c r="I32" s="29">
        <v>4.5083333330000004</v>
      </c>
    </row>
    <row r="33" spans="1:9">
      <c r="A33" s="11" t="s">
        <v>50</v>
      </c>
      <c r="B33" s="5" t="s">
        <v>18</v>
      </c>
      <c r="C33" s="5" t="s">
        <v>14</v>
      </c>
      <c r="D33">
        <v>2</v>
      </c>
      <c r="E33" s="7" t="s">
        <v>12</v>
      </c>
      <c r="F33" s="21">
        <v>1.7833333330000001</v>
      </c>
      <c r="G33" s="22">
        <v>1.066666667</v>
      </c>
      <c r="H33" s="22">
        <v>1.8333333329999999</v>
      </c>
      <c r="I33" s="23">
        <v>4.6833333330000002</v>
      </c>
    </row>
    <row r="34" spans="1:9">
      <c r="A34" s="8" t="s">
        <v>51</v>
      </c>
      <c r="B34" s="9" t="s">
        <v>10</v>
      </c>
      <c r="C34" s="9" t="s">
        <v>48</v>
      </c>
      <c r="D34">
        <v>1</v>
      </c>
      <c r="E34" s="10" t="s">
        <v>12</v>
      </c>
      <c r="F34" s="21">
        <v>0.5</v>
      </c>
      <c r="G34" s="22">
        <v>3</v>
      </c>
      <c r="H34" s="22">
        <v>4</v>
      </c>
      <c r="I34" s="23">
        <v>7.5</v>
      </c>
    </row>
    <row r="35" spans="1:9">
      <c r="A35" s="11" t="s">
        <v>52</v>
      </c>
      <c r="B35" s="5" t="s">
        <v>18</v>
      </c>
      <c r="C35" s="5" t="s">
        <v>22</v>
      </c>
      <c r="D35">
        <v>2</v>
      </c>
      <c r="E35" s="7" t="s">
        <v>17</v>
      </c>
      <c r="F35" s="21">
        <v>2</v>
      </c>
      <c r="G35" s="22">
        <v>5</v>
      </c>
      <c r="H35" s="22">
        <v>10</v>
      </c>
      <c r="I35" s="23">
        <v>17</v>
      </c>
    </row>
    <row r="36" spans="1:9">
      <c r="A36" s="8" t="s">
        <v>53</v>
      </c>
      <c r="B36" s="9" t="s">
        <v>18</v>
      </c>
      <c r="C36" s="9" t="s">
        <v>22</v>
      </c>
      <c r="D36">
        <v>2</v>
      </c>
      <c r="E36" s="10" t="s">
        <v>12</v>
      </c>
      <c r="F36" s="21">
        <v>1</v>
      </c>
      <c r="G36" s="22">
        <v>1</v>
      </c>
      <c r="H36" s="22">
        <v>2</v>
      </c>
      <c r="I36" s="23">
        <v>4</v>
      </c>
    </row>
    <row r="37" spans="1:9">
      <c r="A37" s="11" t="s">
        <v>54</v>
      </c>
      <c r="B37" s="5" t="s">
        <v>18</v>
      </c>
      <c r="C37" s="5" t="s">
        <v>16</v>
      </c>
      <c r="D37">
        <v>1</v>
      </c>
      <c r="E37" s="7" t="s">
        <v>12</v>
      </c>
      <c r="F37" s="21">
        <v>8.3333333329999992E-3</v>
      </c>
      <c r="G37" s="22">
        <v>0.05</v>
      </c>
      <c r="H37" s="22">
        <v>8.3333333329999992E-3</v>
      </c>
      <c r="I37" s="23">
        <v>6.6666666669999999E-2</v>
      </c>
    </row>
    <row r="38" spans="1:9">
      <c r="A38" s="8" t="s">
        <v>55</v>
      </c>
      <c r="B38" s="9" t="s">
        <v>18</v>
      </c>
      <c r="C38" s="9" t="s">
        <v>16</v>
      </c>
      <c r="D38">
        <v>1</v>
      </c>
      <c r="E38" s="10" t="s">
        <v>12</v>
      </c>
      <c r="F38" s="21">
        <v>0.75</v>
      </c>
      <c r="G38" s="22">
        <v>0.5</v>
      </c>
      <c r="H38" s="22">
        <v>4</v>
      </c>
      <c r="I38" s="23">
        <v>5.25</v>
      </c>
    </row>
    <row r="39" spans="1:9">
      <c r="A39" s="11" t="s">
        <v>56</v>
      </c>
      <c r="B39" s="5" t="s">
        <v>18</v>
      </c>
      <c r="C39" s="5" t="s">
        <v>25</v>
      </c>
      <c r="D39">
        <v>1</v>
      </c>
      <c r="E39" s="7" t="s">
        <v>12</v>
      </c>
      <c r="F39" s="21">
        <v>0.1</v>
      </c>
      <c r="G39" s="22">
        <v>2.3333333330000001</v>
      </c>
      <c r="H39" s="22">
        <v>1.0016666670000001</v>
      </c>
      <c r="I39" s="23">
        <v>3.4350000000000001</v>
      </c>
    </row>
    <row r="40" spans="1:9">
      <c r="A40" s="8" t="s">
        <v>57</v>
      </c>
      <c r="B40" s="9" t="s">
        <v>18</v>
      </c>
      <c r="C40" s="9" t="s">
        <v>58</v>
      </c>
      <c r="D40">
        <v>2</v>
      </c>
      <c r="E40" s="10" t="s">
        <v>12</v>
      </c>
      <c r="F40" s="21">
        <v>1.8666666670000001</v>
      </c>
      <c r="G40" s="22">
        <v>5</v>
      </c>
      <c r="H40" s="22">
        <v>3.75</v>
      </c>
      <c r="I40" s="23">
        <v>10.616666670000001</v>
      </c>
    </row>
    <row r="41" spans="1:9">
      <c r="A41" s="11" t="s">
        <v>59</v>
      </c>
      <c r="B41" s="5" t="s">
        <v>18</v>
      </c>
      <c r="C41" s="5" t="s">
        <v>60</v>
      </c>
      <c r="D41">
        <v>1</v>
      </c>
      <c r="E41" s="7" t="s">
        <v>12</v>
      </c>
      <c r="F41" s="27">
        <v>0.5</v>
      </c>
      <c r="G41" s="28">
        <v>6.6666666669999999E-2</v>
      </c>
      <c r="H41" s="28">
        <v>0.4</v>
      </c>
      <c r="I41" s="29">
        <v>0.96666666670000001</v>
      </c>
    </row>
    <row r="42" spans="1:9">
      <c r="A42" s="12"/>
      <c r="B42" s="9" t="s">
        <v>18</v>
      </c>
      <c r="C42" s="9" t="s">
        <v>14</v>
      </c>
      <c r="D42">
        <v>2</v>
      </c>
      <c r="E42" s="10" t="s">
        <v>12</v>
      </c>
      <c r="F42" s="32">
        <v>0.30238095199999998</v>
      </c>
      <c r="G42" s="33">
        <v>3.1333333329999999</v>
      </c>
      <c r="H42" s="33">
        <v>0.77380952300000005</v>
      </c>
      <c r="I42" s="34">
        <f>SUM(F42:H42)</f>
        <v>4.2095238080000001</v>
      </c>
    </row>
    <row r="43" spans="1:9">
      <c r="A43" s="11" t="s">
        <v>61</v>
      </c>
      <c r="B43" s="5" t="s">
        <v>18</v>
      </c>
      <c r="C43" s="5" t="s">
        <v>60</v>
      </c>
      <c r="D43">
        <v>1</v>
      </c>
      <c r="E43" s="7" t="s">
        <v>12</v>
      </c>
      <c r="F43" s="27">
        <v>8.3333333329999995E-2</v>
      </c>
      <c r="G43" s="28">
        <v>4</v>
      </c>
      <c r="H43" s="28">
        <v>5</v>
      </c>
      <c r="I43" s="27">
        <v>9.0833333333299997</v>
      </c>
    </row>
    <row r="44" spans="1:9">
      <c r="A44" s="8" t="s">
        <v>62</v>
      </c>
      <c r="B44" s="9" t="s">
        <v>18</v>
      </c>
      <c r="C44" s="9" t="s">
        <v>60</v>
      </c>
      <c r="D44">
        <v>1</v>
      </c>
      <c r="E44" s="10" t="s">
        <v>12</v>
      </c>
      <c r="F44" s="21">
        <v>0.16666666669999999</v>
      </c>
      <c r="G44" s="22">
        <v>4</v>
      </c>
      <c r="H44" s="22">
        <v>5</v>
      </c>
      <c r="I44" s="23">
        <v>9.1666666669999994</v>
      </c>
    </row>
    <row r="45" spans="1:9">
      <c r="A45" s="11" t="s">
        <v>63</v>
      </c>
      <c r="B45" s="5" t="s">
        <v>10</v>
      </c>
      <c r="C45" s="5" t="s">
        <v>60</v>
      </c>
      <c r="D45">
        <v>5</v>
      </c>
      <c r="E45" s="7" t="s">
        <v>28</v>
      </c>
      <c r="F45" s="21">
        <v>2.5000000000000001E-2</v>
      </c>
      <c r="G45" s="22">
        <v>1.666666667E-2</v>
      </c>
      <c r="H45" s="22">
        <v>3.3333333329999999E-2</v>
      </c>
      <c r="I45" s="23">
        <v>7.4999999999999997E-2</v>
      </c>
    </row>
    <row r="46" spans="1:9">
      <c r="A46" s="8" t="s">
        <v>64</v>
      </c>
      <c r="B46" s="9" t="s">
        <v>18</v>
      </c>
      <c r="C46" s="9" t="s">
        <v>14</v>
      </c>
      <c r="D46">
        <v>2</v>
      </c>
      <c r="E46" s="10" t="s">
        <v>12</v>
      </c>
      <c r="F46" s="21">
        <v>7</v>
      </c>
      <c r="G46" s="22">
        <v>0.18333333330000001</v>
      </c>
      <c r="H46" s="22">
        <v>0.21666666670000001</v>
      </c>
      <c r="I46" s="23">
        <v>7.4</v>
      </c>
    </row>
    <row r="47" spans="1:9">
      <c r="A47" s="11" t="s">
        <v>65</v>
      </c>
      <c r="B47" s="5" t="s">
        <v>10</v>
      </c>
      <c r="C47" s="5" t="s">
        <v>16</v>
      </c>
      <c r="D47">
        <v>2</v>
      </c>
      <c r="E47" s="7" t="s">
        <v>17</v>
      </c>
      <c r="F47" s="21">
        <v>0.66666666669999997</v>
      </c>
      <c r="G47" s="22">
        <v>0</v>
      </c>
      <c r="H47" s="22">
        <v>0</v>
      </c>
      <c r="I47" s="23">
        <v>0.66666666669999997</v>
      </c>
    </row>
    <row r="48" spans="1:9">
      <c r="A48" s="8" t="s">
        <v>66</v>
      </c>
      <c r="B48" s="9" t="s">
        <v>18</v>
      </c>
      <c r="C48" s="9" t="s">
        <v>16</v>
      </c>
      <c r="D48">
        <v>2</v>
      </c>
      <c r="E48" s="10" t="s">
        <v>12</v>
      </c>
      <c r="F48" s="21">
        <v>1</v>
      </c>
      <c r="G48" s="22">
        <v>2</v>
      </c>
      <c r="H48" s="22">
        <v>0</v>
      </c>
      <c r="I48" s="23">
        <v>3</v>
      </c>
    </row>
    <row r="49" spans="1:9">
      <c r="A49" s="11" t="s">
        <v>67</v>
      </c>
      <c r="B49" s="5" t="s">
        <v>18</v>
      </c>
      <c r="C49" s="5" t="s">
        <v>14</v>
      </c>
      <c r="D49">
        <v>4</v>
      </c>
      <c r="E49" s="7" t="s">
        <v>17</v>
      </c>
      <c r="F49" s="21">
        <v>0.5</v>
      </c>
      <c r="G49" s="22">
        <v>0.16666666669999999</v>
      </c>
      <c r="H49" s="22">
        <v>3</v>
      </c>
      <c r="I49" s="23">
        <v>3.6666666669999999</v>
      </c>
    </row>
    <row r="50" spans="1:9">
      <c r="A50" s="8" t="s">
        <v>68</v>
      </c>
      <c r="B50" s="9" t="s">
        <v>10</v>
      </c>
      <c r="C50" s="9" t="s">
        <v>16</v>
      </c>
      <c r="D50">
        <v>2</v>
      </c>
      <c r="E50" s="10" t="s">
        <v>12</v>
      </c>
      <c r="F50" s="21">
        <v>0.4833333333</v>
      </c>
      <c r="G50" s="22">
        <v>1.066666667</v>
      </c>
      <c r="H50" s="22">
        <v>1.516666667</v>
      </c>
      <c r="I50" s="23">
        <v>3.0666666669999998</v>
      </c>
    </row>
    <row r="51" spans="1:9">
      <c r="A51" s="15" t="s">
        <v>69</v>
      </c>
      <c r="B51" s="16" t="s">
        <v>18</v>
      </c>
      <c r="C51" s="16" t="s">
        <v>22</v>
      </c>
      <c r="D51">
        <v>4</v>
      </c>
      <c r="E51" s="17" t="s">
        <v>17</v>
      </c>
      <c r="F51" s="24">
        <v>8.3333333329999995E-2</v>
      </c>
      <c r="G51" s="25">
        <v>1</v>
      </c>
      <c r="H51" s="25">
        <v>0</v>
      </c>
      <c r="I51" s="26">
        <v>1.0833333329999999</v>
      </c>
    </row>
    <row r="52" spans="1:9">
      <c r="F52">
        <f>SUM(F2:F51)</f>
        <v>56.071666665353021</v>
      </c>
      <c r="G52">
        <f>SUM(G2:G51)</f>
        <v>73.975476189269997</v>
      </c>
      <c r="H52">
        <f>SUM(H2:H51)</f>
        <v>93.359285713392993</v>
      </c>
      <c r="I52">
        <f>SUM(I2:I51)</f>
        <v>223.38976190627139</v>
      </c>
    </row>
    <row r="54" spans="1:9">
      <c r="I54">
        <f>SUM(F52:H52)</f>
        <v>223.406428568016</v>
      </c>
    </row>
    <row r="55" spans="1:9">
      <c r="I55">
        <f>I52 - I54</f>
        <v>-1.6666661744608291E-2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DC30-8F5C-416F-9CFF-64F5817515DA}">
  <dimension ref="A2:AF46"/>
  <sheetViews>
    <sheetView workbookViewId="0">
      <selection activeCell="E8" sqref="E8"/>
    </sheetView>
  </sheetViews>
  <sheetFormatPr defaultRowHeight="15"/>
  <cols>
    <col min="1" max="1" width="29" customWidth="1"/>
    <col min="2" max="2" width="11.5703125" customWidth="1"/>
    <col min="4" max="4" width="10.85546875" customWidth="1"/>
    <col min="5" max="5" width="10.7109375" customWidth="1"/>
    <col min="6" max="6" width="17.42578125" customWidth="1"/>
    <col min="9" max="9" width="19.140625" customWidth="1"/>
    <col min="10" max="10" width="11" customWidth="1"/>
    <col min="14" max="14" width="17" customWidth="1"/>
    <col min="16" max="16" width="27.7109375" customWidth="1"/>
    <col min="17" max="17" width="11.28515625" customWidth="1"/>
    <col min="19" max="19" width="13.7109375" customWidth="1"/>
    <col min="20" max="20" width="11.42578125" customWidth="1"/>
    <col min="22" max="22" width="27.140625" customWidth="1"/>
    <col min="23" max="23" width="11" customWidth="1"/>
    <col min="25" max="25" width="12.5703125" customWidth="1"/>
    <col min="26" max="26" width="11.7109375" customWidth="1"/>
    <col min="28" max="28" width="27.28515625" customWidth="1"/>
    <col min="29" max="29" width="10.85546875" customWidth="1"/>
    <col min="31" max="31" width="13.28515625" customWidth="1"/>
    <col min="32" max="32" width="10.85546875" customWidth="1"/>
  </cols>
  <sheetData>
    <row r="2" spans="1:32">
      <c r="A2" s="35" t="s">
        <v>70</v>
      </c>
      <c r="B2" s="35" t="s">
        <v>71</v>
      </c>
      <c r="D2" s="35" t="s">
        <v>72</v>
      </c>
      <c r="E2" s="35" t="s">
        <v>73</v>
      </c>
      <c r="F2" s="35" t="s">
        <v>74</v>
      </c>
      <c r="G2" s="36"/>
      <c r="I2" s="35" t="s">
        <v>75</v>
      </c>
      <c r="J2" s="35" t="s">
        <v>76</v>
      </c>
      <c r="L2" t="s">
        <v>72</v>
      </c>
      <c r="M2" t="s">
        <v>73</v>
      </c>
      <c r="N2" t="s">
        <v>74</v>
      </c>
      <c r="P2" s="37" t="s">
        <v>70</v>
      </c>
      <c r="Q2" s="37" t="s">
        <v>71</v>
      </c>
      <c r="S2" s="37" t="s">
        <v>75</v>
      </c>
      <c r="T2" s="37" t="s">
        <v>76</v>
      </c>
      <c r="V2" s="38" t="s">
        <v>70</v>
      </c>
      <c r="W2" s="38" t="s">
        <v>71</v>
      </c>
      <c r="Y2" s="38" t="s">
        <v>75</v>
      </c>
      <c r="Z2" s="38" t="s">
        <v>76</v>
      </c>
      <c r="AB2" s="39" t="s">
        <v>70</v>
      </c>
      <c r="AC2" s="39" t="s">
        <v>71</v>
      </c>
      <c r="AE2" s="39" t="s">
        <v>75</v>
      </c>
      <c r="AF2" s="39" t="s">
        <v>76</v>
      </c>
    </row>
    <row r="3" spans="1:32">
      <c r="A3">
        <v>0</v>
      </c>
      <c r="B3">
        <v>1</v>
      </c>
      <c r="D3" s="30">
        <v>1.1214329999999999</v>
      </c>
      <c r="E3" s="30">
        <v>1.787696</v>
      </c>
      <c r="F3" s="30">
        <v>1.337048</v>
      </c>
      <c r="I3" t="s">
        <v>77</v>
      </c>
      <c r="J3">
        <f>SUM(B3:B22)</f>
        <v>30</v>
      </c>
      <c r="P3" s="30">
        <v>0</v>
      </c>
      <c r="Q3">
        <v>3</v>
      </c>
      <c r="S3" t="s">
        <v>78</v>
      </c>
      <c r="T3">
        <f>SUM(Q3:Q17)</f>
        <v>33</v>
      </c>
      <c r="V3" s="30">
        <v>0</v>
      </c>
      <c r="W3">
        <v>9</v>
      </c>
      <c r="Y3" t="s">
        <v>79</v>
      </c>
      <c r="Z3">
        <f>SUM(W3:W16)</f>
        <v>25</v>
      </c>
      <c r="AB3" s="30">
        <v>0</v>
      </c>
      <c r="AC3">
        <v>1</v>
      </c>
      <c r="AE3" t="s">
        <v>80</v>
      </c>
      <c r="AF3">
        <f>SUM(AC3:AC13)</f>
        <v>13</v>
      </c>
    </row>
    <row r="4" spans="1:32">
      <c r="A4" s="30">
        <v>8.3333333329999992E-3</v>
      </c>
      <c r="B4">
        <v>1</v>
      </c>
      <c r="I4" t="s">
        <v>81</v>
      </c>
      <c r="J4">
        <f>SUM(B23:B28)</f>
        <v>9</v>
      </c>
      <c r="P4" s="31">
        <v>1.666666667E-2</v>
      </c>
      <c r="Q4">
        <v>2</v>
      </c>
      <c r="S4" t="s">
        <v>82</v>
      </c>
      <c r="T4">
        <f>SUM(Q18:Q22)</f>
        <v>7</v>
      </c>
      <c r="V4">
        <v>8.3333333329999992E-3</v>
      </c>
      <c r="W4">
        <v>1</v>
      </c>
      <c r="Y4" t="s">
        <v>83</v>
      </c>
      <c r="Z4">
        <f>SUM(W17:W22)</f>
        <v>12</v>
      </c>
      <c r="AB4">
        <v>6.6666666669999999E-2</v>
      </c>
      <c r="AC4">
        <v>1</v>
      </c>
      <c r="AE4" t="s">
        <v>84</v>
      </c>
      <c r="AF4">
        <f>SUM(AC14:AC31)</f>
        <v>21</v>
      </c>
    </row>
    <row r="5" spans="1:32">
      <c r="A5" s="31">
        <v>2.5000000000000001E-2</v>
      </c>
      <c r="B5">
        <v>1</v>
      </c>
      <c r="I5" t="s">
        <v>85</v>
      </c>
      <c r="J5">
        <f>SUM(B29:B32)</f>
        <v>8</v>
      </c>
      <c r="P5">
        <v>1.833333333E-2</v>
      </c>
      <c r="Q5">
        <v>1</v>
      </c>
      <c r="S5" t="s">
        <v>86</v>
      </c>
      <c r="T5">
        <f>SUM(Q23:Q26)</f>
        <v>4</v>
      </c>
      <c r="V5" s="31">
        <v>3.3333333329999999E-2</v>
      </c>
      <c r="W5">
        <v>1</v>
      </c>
      <c r="Y5" t="s">
        <v>87</v>
      </c>
      <c r="Z5">
        <f>SUM(W23:W27)</f>
        <v>8</v>
      </c>
      <c r="AB5">
        <v>7.4999999999999997E-2</v>
      </c>
      <c r="AC5">
        <v>2</v>
      </c>
      <c r="AE5" t="s">
        <v>88</v>
      </c>
      <c r="AF5">
        <f>SUM(AC32:AC39)</f>
        <v>8</v>
      </c>
    </row>
    <row r="6" spans="1:32">
      <c r="A6" s="31">
        <v>3.8333333329999997E-2</v>
      </c>
      <c r="B6">
        <v>1</v>
      </c>
      <c r="I6" t="s">
        <v>89</v>
      </c>
      <c r="J6">
        <v>1</v>
      </c>
      <c r="P6">
        <v>3.3333333329999999E-2</v>
      </c>
      <c r="Q6">
        <v>1</v>
      </c>
      <c r="S6" t="s">
        <v>90</v>
      </c>
      <c r="T6">
        <v>3</v>
      </c>
      <c r="V6" s="31">
        <v>3.5000000000000003E-2</v>
      </c>
      <c r="W6">
        <v>1</v>
      </c>
      <c r="Y6" t="s">
        <v>91</v>
      </c>
      <c r="Z6">
        <v>3</v>
      </c>
      <c r="AB6">
        <v>0.18333333330000001</v>
      </c>
      <c r="AC6">
        <v>1</v>
      </c>
      <c r="AE6" t="s">
        <v>92</v>
      </c>
      <c r="AF6">
        <f>SUM(AC40:AC43)</f>
        <v>5</v>
      </c>
    </row>
    <row r="7" spans="1:32">
      <c r="A7" s="31">
        <v>8.3333333329999995E-2</v>
      </c>
      <c r="B7">
        <v>3</v>
      </c>
      <c r="I7" t="s">
        <v>93</v>
      </c>
      <c r="J7">
        <v>0</v>
      </c>
      <c r="P7">
        <v>0.05</v>
      </c>
      <c r="Q7">
        <v>1</v>
      </c>
      <c r="S7" t="s">
        <v>94</v>
      </c>
      <c r="T7">
        <v>2</v>
      </c>
      <c r="V7" s="31">
        <v>8.3333333329999995E-2</v>
      </c>
      <c r="W7">
        <v>1</v>
      </c>
      <c r="Y7" t="s">
        <v>95</v>
      </c>
      <c r="Z7">
        <v>1</v>
      </c>
      <c r="AB7">
        <v>0.66666666669999997</v>
      </c>
      <c r="AC7">
        <v>1</v>
      </c>
      <c r="AE7" t="s">
        <v>96</v>
      </c>
      <c r="AF7">
        <v>1</v>
      </c>
    </row>
    <row r="8" spans="1:32">
      <c r="A8" s="31">
        <v>0.1</v>
      </c>
      <c r="B8">
        <v>1</v>
      </c>
      <c r="I8" t="s">
        <v>97</v>
      </c>
      <c r="J8">
        <v>1</v>
      </c>
      <c r="P8">
        <v>6.6666666669999999E-2</v>
      </c>
      <c r="Q8">
        <v>1</v>
      </c>
      <c r="S8" t="s">
        <v>98</v>
      </c>
      <c r="T8">
        <v>0</v>
      </c>
      <c r="V8">
        <v>0.21666666670000001</v>
      </c>
      <c r="W8">
        <v>1</v>
      </c>
      <c r="Y8" t="s">
        <v>99</v>
      </c>
      <c r="Z8">
        <v>0</v>
      </c>
      <c r="AB8">
        <v>0.96666666670000001</v>
      </c>
      <c r="AC8">
        <v>1</v>
      </c>
      <c r="AE8" t="s">
        <v>100</v>
      </c>
      <c r="AF8">
        <v>0</v>
      </c>
    </row>
    <row r="9" spans="1:32">
      <c r="A9" s="31">
        <v>0.16666666669999999</v>
      </c>
      <c r="B9">
        <v>2</v>
      </c>
      <c r="I9" t="s">
        <v>101</v>
      </c>
      <c r="J9">
        <v>1</v>
      </c>
      <c r="P9">
        <v>0.16666666669999999</v>
      </c>
      <c r="Q9">
        <v>1</v>
      </c>
      <c r="S9" t="s">
        <v>102</v>
      </c>
      <c r="T9">
        <v>1</v>
      </c>
      <c r="V9">
        <v>0.36666666669999998</v>
      </c>
      <c r="W9">
        <v>1</v>
      </c>
      <c r="Y9" t="s">
        <v>103</v>
      </c>
      <c r="Z9">
        <v>1</v>
      </c>
      <c r="AB9">
        <v>1.0833333329999999</v>
      </c>
      <c r="AC9">
        <v>1</v>
      </c>
      <c r="AE9" t="s">
        <v>104</v>
      </c>
      <c r="AF9">
        <v>2</v>
      </c>
    </row>
    <row r="10" spans="1:32">
      <c r="A10" s="30">
        <v>0.25</v>
      </c>
      <c r="B10">
        <v>1</v>
      </c>
      <c r="P10">
        <v>0.18333333330000001</v>
      </c>
      <c r="Q10">
        <v>1</v>
      </c>
      <c r="V10">
        <v>0.4</v>
      </c>
      <c r="W10">
        <v>1</v>
      </c>
      <c r="AB10">
        <v>1.2833333330000001</v>
      </c>
      <c r="AC10">
        <v>1</v>
      </c>
    </row>
    <row r="11" spans="1:32">
      <c r="A11">
        <v>0.30238095199999998</v>
      </c>
      <c r="B11">
        <v>1</v>
      </c>
      <c r="P11" s="30">
        <v>0.33333333329999998</v>
      </c>
      <c r="Q11" s="30">
        <v>1</v>
      </c>
      <c r="T11">
        <f>SUM(T3:T9)</f>
        <v>50</v>
      </c>
      <c r="V11">
        <v>0.45</v>
      </c>
      <c r="W11">
        <v>1</v>
      </c>
      <c r="Z11">
        <f>SUM(Z3:Z9)</f>
        <v>50</v>
      </c>
      <c r="AB11">
        <v>1.5833333329999999</v>
      </c>
      <c r="AC11">
        <v>1</v>
      </c>
      <c r="AF11">
        <f>SUM(AF3:AF9)</f>
        <v>50</v>
      </c>
    </row>
    <row r="12" spans="1:32">
      <c r="A12" s="31">
        <v>0.33333333329999998</v>
      </c>
      <c r="B12">
        <v>1</v>
      </c>
      <c r="P12">
        <v>0.43333333330000001</v>
      </c>
      <c r="Q12">
        <v>1</v>
      </c>
      <c r="V12">
        <v>0.5</v>
      </c>
      <c r="W12">
        <v>1</v>
      </c>
      <c r="AB12">
        <v>1.9166666670000001</v>
      </c>
      <c r="AC12">
        <v>1</v>
      </c>
    </row>
    <row r="13" spans="1:32">
      <c r="A13">
        <v>0.41666666670000002</v>
      </c>
      <c r="B13">
        <v>1</v>
      </c>
      <c r="P13">
        <v>0.5</v>
      </c>
      <c r="Q13">
        <v>5</v>
      </c>
      <c r="V13">
        <v>0.77380952300000005</v>
      </c>
      <c r="W13">
        <v>1</v>
      </c>
      <c r="AB13">
        <v>2</v>
      </c>
      <c r="AC13">
        <v>2</v>
      </c>
    </row>
    <row r="14" spans="1:32">
      <c r="A14">
        <v>0.4833333333</v>
      </c>
      <c r="B14">
        <v>1</v>
      </c>
      <c r="P14">
        <v>0.75</v>
      </c>
      <c r="Q14">
        <v>1</v>
      </c>
      <c r="V14">
        <v>0.85714285700000004</v>
      </c>
      <c r="W14">
        <v>1</v>
      </c>
      <c r="AB14" s="31">
        <v>2.5</v>
      </c>
      <c r="AC14">
        <v>1</v>
      </c>
    </row>
    <row r="15" spans="1:32">
      <c r="A15" s="31">
        <v>0.5</v>
      </c>
      <c r="B15">
        <v>8</v>
      </c>
      <c r="P15">
        <v>0.85714285700000004</v>
      </c>
      <c r="Q15">
        <v>1</v>
      </c>
      <c r="V15">
        <v>1</v>
      </c>
      <c r="W15">
        <v>4</v>
      </c>
      <c r="AB15" s="30">
        <v>2.8666666670000001</v>
      </c>
      <c r="AC15">
        <v>1</v>
      </c>
    </row>
    <row r="16" spans="1:32">
      <c r="A16" s="31">
        <v>0.50833333329999997</v>
      </c>
      <c r="B16">
        <v>1</v>
      </c>
      <c r="P16">
        <v>1</v>
      </c>
      <c r="Q16">
        <v>11</v>
      </c>
      <c r="V16">
        <v>1.0016666670000001</v>
      </c>
      <c r="W16">
        <v>1</v>
      </c>
      <c r="AB16">
        <v>3</v>
      </c>
      <c r="AC16">
        <v>2</v>
      </c>
    </row>
    <row r="17" spans="1:29">
      <c r="A17" s="30">
        <v>0.51666666670000005</v>
      </c>
      <c r="B17">
        <v>1</v>
      </c>
      <c r="P17">
        <v>1.066666667</v>
      </c>
      <c r="Q17">
        <v>2</v>
      </c>
      <c r="V17" s="30">
        <v>1.516666667</v>
      </c>
      <c r="W17">
        <v>1</v>
      </c>
      <c r="AB17">
        <v>3.0666666669999998</v>
      </c>
      <c r="AC17">
        <v>1</v>
      </c>
    </row>
    <row r="18" spans="1:29">
      <c r="A18" s="31">
        <v>0.53333333329999999</v>
      </c>
      <c r="B18">
        <v>1</v>
      </c>
      <c r="P18">
        <v>1.5</v>
      </c>
      <c r="Q18">
        <v>2</v>
      </c>
      <c r="V18">
        <v>1.8333333329999999</v>
      </c>
      <c r="W18">
        <v>1</v>
      </c>
      <c r="AB18">
        <v>3.25</v>
      </c>
      <c r="AC18">
        <v>1</v>
      </c>
    </row>
    <row r="19" spans="1:29">
      <c r="A19">
        <v>0.6</v>
      </c>
      <c r="B19">
        <v>1</v>
      </c>
      <c r="P19" s="30">
        <v>1.766666667</v>
      </c>
      <c r="Q19">
        <v>1</v>
      </c>
      <c r="V19">
        <v>1.9</v>
      </c>
      <c r="W19">
        <v>1</v>
      </c>
      <c r="AB19">
        <v>3.4350000000000001</v>
      </c>
      <c r="AC19">
        <v>1</v>
      </c>
    </row>
    <row r="20" spans="1:29">
      <c r="A20">
        <v>0.66666666669999997</v>
      </c>
      <c r="B20">
        <v>1</v>
      </c>
      <c r="P20" s="30">
        <v>2</v>
      </c>
      <c r="Q20">
        <v>1</v>
      </c>
      <c r="V20">
        <v>2</v>
      </c>
      <c r="W20">
        <v>7</v>
      </c>
      <c r="AB20">
        <v>3.5</v>
      </c>
      <c r="AC20">
        <v>2</v>
      </c>
    </row>
    <row r="21" spans="1:29">
      <c r="A21">
        <v>0.75</v>
      </c>
      <c r="B21">
        <v>1</v>
      </c>
      <c r="P21">
        <v>2.0333333329999999</v>
      </c>
      <c r="Q21">
        <v>1</v>
      </c>
      <c r="V21">
        <v>2.3333333330000001</v>
      </c>
      <c r="W21">
        <v>1</v>
      </c>
      <c r="AB21">
        <v>3.6666666669999999</v>
      </c>
      <c r="AC21">
        <v>1</v>
      </c>
    </row>
    <row r="22" spans="1:29">
      <c r="A22">
        <v>0.8</v>
      </c>
      <c r="B22">
        <v>1</v>
      </c>
      <c r="P22">
        <v>2.3333333330000001</v>
      </c>
      <c r="Q22">
        <v>2</v>
      </c>
      <c r="V22">
        <v>2.5</v>
      </c>
      <c r="W22">
        <v>1</v>
      </c>
      <c r="AB22">
        <v>3.75</v>
      </c>
      <c r="AC22">
        <v>1</v>
      </c>
    </row>
    <row r="23" spans="1:29">
      <c r="A23" s="31">
        <v>1</v>
      </c>
      <c r="B23">
        <v>4</v>
      </c>
      <c r="P23">
        <v>2.6833333330000002</v>
      </c>
      <c r="Q23">
        <v>1</v>
      </c>
      <c r="V23">
        <v>3</v>
      </c>
      <c r="W23">
        <v>3</v>
      </c>
      <c r="AB23">
        <v>4</v>
      </c>
      <c r="AC23">
        <v>2</v>
      </c>
    </row>
    <row r="24" spans="1:29">
      <c r="A24" s="30">
        <v>1.0083333329999999</v>
      </c>
      <c r="B24">
        <v>1</v>
      </c>
      <c r="P24">
        <v>2.7</v>
      </c>
      <c r="Q24">
        <v>1</v>
      </c>
      <c r="V24">
        <v>3.75</v>
      </c>
      <c r="W24">
        <v>1</v>
      </c>
      <c r="AB24">
        <v>4.2095238080000001</v>
      </c>
      <c r="AC24">
        <v>1</v>
      </c>
    </row>
    <row r="25" spans="1:29">
      <c r="A25" s="31">
        <v>1.316666667</v>
      </c>
      <c r="B25">
        <v>1</v>
      </c>
      <c r="P25" s="31">
        <v>3</v>
      </c>
      <c r="Q25">
        <v>1</v>
      </c>
      <c r="V25">
        <v>3.8333333330000001</v>
      </c>
      <c r="W25">
        <v>1</v>
      </c>
      <c r="AB25">
        <v>4.3333333329999997</v>
      </c>
      <c r="AC25">
        <v>1</v>
      </c>
    </row>
    <row r="26" spans="1:29">
      <c r="A26">
        <v>1.3333333329999999</v>
      </c>
      <c r="B26">
        <v>1</v>
      </c>
      <c r="P26" s="31">
        <v>3.1333333329999999</v>
      </c>
      <c r="Q26">
        <v>1</v>
      </c>
      <c r="V26">
        <v>4</v>
      </c>
      <c r="W26">
        <v>2</v>
      </c>
      <c r="AB26">
        <v>4.4285714285714297</v>
      </c>
      <c r="AC26">
        <v>1</v>
      </c>
    </row>
    <row r="27" spans="1:29">
      <c r="A27">
        <v>1.7833333330000001</v>
      </c>
      <c r="B27">
        <v>1</v>
      </c>
      <c r="P27" s="30">
        <v>4</v>
      </c>
      <c r="Q27">
        <v>2</v>
      </c>
      <c r="V27">
        <v>4.3</v>
      </c>
      <c r="W27">
        <v>1</v>
      </c>
      <c r="AB27">
        <v>4.4333333330000002</v>
      </c>
      <c r="AC27">
        <v>1</v>
      </c>
    </row>
    <row r="28" spans="1:29">
      <c r="A28" s="30">
        <v>1.8666666670000001</v>
      </c>
      <c r="B28">
        <v>1</v>
      </c>
      <c r="P28" s="31">
        <v>4.4333333330000002</v>
      </c>
      <c r="Q28">
        <v>1</v>
      </c>
      <c r="V28">
        <v>5</v>
      </c>
      <c r="W28">
        <v>3</v>
      </c>
      <c r="AB28">
        <v>4.5083333330000004</v>
      </c>
      <c r="AC28">
        <v>1</v>
      </c>
    </row>
    <row r="29" spans="1:29">
      <c r="A29" s="31">
        <v>2</v>
      </c>
      <c r="B29">
        <v>5</v>
      </c>
      <c r="P29" s="31">
        <v>5</v>
      </c>
      <c r="Q29">
        <v>2</v>
      </c>
      <c r="V29">
        <v>6.6666666670000003</v>
      </c>
      <c r="W29">
        <v>1</v>
      </c>
      <c r="AB29">
        <v>4.6749999999999998</v>
      </c>
      <c r="AC29">
        <v>1</v>
      </c>
    </row>
    <row r="30" spans="1:29">
      <c r="A30" s="31">
        <v>2.6666666669999999</v>
      </c>
      <c r="B30">
        <v>1</v>
      </c>
      <c r="P30">
        <v>8</v>
      </c>
      <c r="Q30">
        <v>1</v>
      </c>
      <c r="V30">
        <v>10</v>
      </c>
      <c r="W30">
        <v>1</v>
      </c>
      <c r="AB30">
        <v>4.6833333330000002</v>
      </c>
      <c r="AC30">
        <v>1</v>
      </c>
    </row>
    <row r="31" spans="1:29">
      <c r="A31" s="30">
        <v>2.7142857139999998</v>
      </c>
      <c r="B31">
        <v>1</v>
      </c>
      <c r="AB31">
        <v>4.8499999999999996</v>
      </c>
      <c r="AC31">
        <v>1</v>
      </c>
    </row>
    <row r="32" spans="1:29">
      <c r="A32" s="30">
        <v>2.8333333330000001</v>
      </c>
      <c r="B32">
        <v>1</v>
      </c>
      <c r="AB32">
        <v>5</v>
      </c>
      <c r="AC32">
        <v>1</v>
      </c>
    </row>
    <row r="33" spans="1:29">
      <c r="A33" s="31">
        <v>3.6333333329999999</v>
      </c>
      <c r="B33">
        <v>1</v>
      </c>
      <c r="AB33">
        <v>5.25</v>
      </c>
      <c r="AC33">
        <v>1</v>
      </c>
    </row>
    <row r="34" spans="1:29">
      <c r="A34">
        <v>5</v>
      </c>
      <c r="B34">
        <v>1</v>
      </c>
      <c r="AB34">
        <v>5.3333333329999997</v>
      </c>
      <c r="AC34">
        <v>1</v>
      </c>
    </row>
    <row r="35" spans="1:29">
      <c r="A35">
        <v>7</v>
      </c>
      <c r="B35">
        <v>1</v>
      </c>
      <c r="AB35">
        <v>6</v>
      </c>
      <c r="AC35">
        <v>1</v>
      </c>
    </row>
    <row r="36" spans="1:29">
      <c r="AB36">
        <v>6.1666666670000003</v>
      </c>
      <c r="AC36">
        <v>1</v>
      </c>
    </row>
    <row r="37" spans="1:29">
      <c r="AB37">
        <v>6.3833333330000004</v>
      </c>
      <c r="AC37">
        <v>1</v>
      </c>
    </row>
    <row r="38" spans="1:29">
      <c r="AB38">
        <v>6.6666666670000003</v>
      </c>
      <c r="AC38">
        <v>1</v>
      </c>
    </row>
    <row r="39" spans="1:29">
      <c r="AB39">
        <v>7.4</v>
      </c>
      <c r="AC39">
        <v>1</v>
      </c>
    </row>
    <row r="40" spans="1:29">
      <c r="AB40">
        <v>7.5</v>
      </c>
      <c r="AC40">
        <v>2</v>
      </c>
    </row>
    <row r="41" spans="1:29">
      <c r="AB41">
        <v>7.6</v>
      </c>
      <c r="AC41">
        <v>1</v>
      </c>
    </row>
    <row r="42" spans="1:29">
      <c r="AB42">
        <v>9.0833333333299997</v>
      </c>
      <c r="AC42">
        <v>1</v>
      </c>
    </row>
    <row r="43" spans="1:29">
      <c r="AB43">
        <v>9.1666666669999994</v>
      </c>
      <c r="AC43">
        <v>1</v>
      </c>
    </row>
    <row r="44" spans="1:29">
      <c r="AB44">
        <v>10.616666670000001</v>
      </c>
      <c r="AC44">
        <v>1</v>
      </c>
    </row>
    <row r="45" spans="1:29">
      <c r="AB45">
        <v>15.166666666999999</v>
      </c>
      <c r="AC45">
        <v>1</v>
      </c>
    </row>
    <row r="46" spans="1:29">
      <c r="AB46">
        <v>17</v>
      </c>
      <c r="AC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D6CA-90D1-42C9-93A1-6465E6ADF37A}">
  <dimension ref="A1:H15"/>
  <sheetViews>
    <sheetView tabSelected="1" workbookViewId="0">
      <selection activeCell="G2" sqref="G2:H5"/>
    </sheetView>
  </sheetViews>
  <sheetFormatPr defaultRowHeight="15"/>
  <cols>
    <col min="1" max="1" width="24.5703125" customWidth="1"/>
    <col min="4" max="4" width="15.28515625" customWidth="1"/>
    <col min="5" max="5" width="10.42578125" customWidth="1"/>
    <col min="7" max="7" width="14.85546875" customWidth="1"/>
    <col min="8" max="8" width="10.7109375" customWidth="1"/>
  </cols>
  <sheetData>
    <row r="1" spans="1:8">
      <c r="A1" t="s">
        <v>2</v>
      </c>
      <c r="B1" t="s">
        <v>76</v>
      </c>
      <c r="D1" t="s">
        <v>3</v>
      </c>
      <c r="E1" t="s">
        <v>76</v>
      </c>
      <c r="G1" t="s">
        <v>4</v>
      </c>
      <c r="H1" t="s">
        <v>76</v>
      </c>
    </row>
    <row r="2" spans="1:8">
      <c r="A2" t="s">
        <v>22</v>
      </c>
      <c r="B2">
        <v>5</v>
      </c>
      <c r="D2" t="s">
        <v>105</v>
      </c>
      <c r="E2">
        <v>13</v>
      </c>
      <c r="G2" t="s">
        <v>12</v>
      </c>
      <c r="H2">
        <v>28</v>
      </c>
    </row>
    <row r="3" spans="1:8">
      <c r="A3" t="s">
        <v>31</v>
      </c>
      <c r="B3">
        <v>3</v>
      </c>
      <c r="D3" t="s">
        <v>106</v>
      </c>
      <c r="E3">
        <v>22</v>
      </c>
      <c r="G3" t="s">
        <v>17</v>
      </c>
      <c r="H3">
        <v>19</v>
      </c>
    </row>
    <row r="4" spans="1:8">
      <c r="A4" t="s">
        <v>16</v>
      </c>
      <c r="B4">
        <v>11</v>
      </c>
      <c r="D4" t="s">
        <v>107</v>
      </c>
      <c r="E4">
        <v>3</v>
      </c>
      <c r="G4" t="s">
        <v>108</v>
      </c>
      <c r="H4">
        <v>2</v>
      </c>
    </row>
    <row r="5" spans="1:8">
      <c r="A5" t="s">
        <v>60</v>
      </c>
      <c r="B5">
        <v>4</v>
      </c>
      <c r="D5" t="s">
        <v>109</v>
      </c>
      <c r="E5">
        <v>6</v>
      </c>
      <c r="G5" t="s">
        <v>110</v>
      </c>
      <c r="H5">
        <v>1</v>
      </c>
    </row>
    <row r="6" spans="1:8">
      <c r="A6" t="s">
        <v>33</v>
      </c>
      <c r="B6">
        <v>1</v>
      </c>
      <c r="D6" t="s">
        <v>111</v>
      </c>
      <c r="E6">
        <v>1</v>
      </c>
    </row>
    <row r="7" spans="1:8">
      <c r="A7" s="31" t="s">
        <v>58</v>
      </c>
      <c r="B7">
        <v>1</v>
      </c>
      <c r="D7" t="s">
        <v>110</v>
      </c>
      <c r="E7">
        <v>5</v>
      </c>
      <c r="H7">
        <f>SUM(H2:H5)</f>
        <v>50</v>
      </c>
    </row>
    <row r="8" spans="1:8">
      <c r="A8" t="s">
        <v>48</v>
      </c>
      <c r="B8">
        <v>3</v>
      </c>
    </row>
    <row r="9" spans="1:8">
      <c r="A9" t="s">
        <v>41</v>
      </c>
      <c r="B9">
        <v>3</v>
      </c>
      <c r="E9">
        <f>SUM(E2:E7)</f>
        <v>50</v>
      </c>
    </row>
    <row r="10" spans="1:8">
      <c r="A10" t="s">
        <v>11</v>
      </c>
      <c r="B10">
        <v>2</v>
      </c>
    </row>
    <row r="11" spans="1:8">
      <c r="A11" t="s">
        <v>14</v>
      </c>
      <c r="B11">
        <v>10</v>
      </c>
    </row>
    <row r="12" spans="1:8">
      <c r="A12" t="s">
        <v>25</v>
      </c>
      <c r="B12">
        <v>2</v>
      </c>
    </row>
    <row r="13" spans="1:8">
      <c r="A13" t="s">
        <v>110</v>
      </c>
      <c r="B13">
        <v>5</v>
      </c>
    </row>
    <row r="15" spans="1:8">
      <c r="B15">
        <f>SUM(B2:B13)</f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 Mae Manalaysay</cp:lastModifiedBy>
  <cp:revision/>
  <dcterms:created xsi:type="dcterms:W3CDTF">2026-10-07T08:01:27Z</dcterms:created>
  <dcterms:modified xsi:type="dcterms:W3CDTF">2026-10-08T11:20:37Z</dcterms:modified>
  <cp:category/>
  <cp:contentStatus/>
</cp:coreProperties>
</file>